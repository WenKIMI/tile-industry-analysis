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原始数据" sheetId="2" state="visible" r:id="rId2"/>
    <sheet xmlns:r="http://schemas.openxmlformats.org/officeDocument/2006/relationships" name="评分卡" sheetId="3" state="visible" r:id="rId3"/>
    <sheet xmlns:r="http://schemas.openxmlformats.org/officeDocument/2006/relationships" name="磨具代理" sheetId="4" state="visible" r:id="rId4"/>
  </sheets>
  <definedNames>
    <definedName name="_xlnm._FilterDatabase" localSheetId="1" hidden="1">'原始数据'!$A$3:$G$5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"/>
  </numFmts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i val="1"/>
      <color rgb="00808080"/>
      <sz val="9"/>
    </font>
    <font>
      <b val="1"/>
    </font>
    <font>
      <b val="1"/>
      <color rgb="00C00000"/>
      <sz val="12"/>
    </font>
    <font>
      <b val="1"/>
      <color rgb="001F4E79"/>
      <sz val="11"/>
    </font>
    <font>
      <b val="1"/>
      <color rgb="00C00000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F2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2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2" fontId="0" fillId="4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4" fillId="0" borderId="0" pivotButton="0" quotePrefix="0" xfId="0"/>
    <xf numFmtId="2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1" t="inlineStr">
        <is>
          <t>景气与磨具需求 汇总看板</t>
        </is>
      </c>
    </row>
    <row r="2">
      <c r="A2" s="2" t="inlineStr">
        <is>
          <t>改这里没用，数值全部来自「评分卡」和「磨具代理」。</t>
        </is>
      </c>
    </row>
    <row r="4">
      <c r="A4" s="3" t="inlineStr">
        <is>
          <t>瓷砖行业景气分</t>
        </is>
      </c>
      <c r="B4" s="4">
        <f>评分卡!I17</f>
        <v/>
      </c>
    </row>
    <row r="5">
      <c r="A5" s="3" t="inlineStr">
        <is>
          <t>景气分级</t>
        </is>
      </c>
      <c r="B5" s="5">
        <f>IF(评分卡!I17&gt;0.5,"景气上行",IF(评分卡!I17&lt;-0.5,"景气下行","中性震荡"))</f>
        <v/>
      </c>
    </row>
    <row r="7">
      <c r="A7" s="3" t="inlineStr">
        <is>
          <t>磨边/抛光耗材 代理分</t>
        </is>
      </c>
      <c r="B7" s="4">
        <f>'磨具代理'!E13</f>
        <v/>
      </c>
    </row>
    <row r="8">
      <c r="A8" s="3" t="inlineStr">
        <is>
          <t>压机模具 代理分</t>
        </is>
      </c>
      <c r="B8" s="4">
        <f>'磨具代理'!E14</f>
        <v/>
      </c>
    </row>
    <row r="10">
      <c r="A10" s="3" t="inlineStr">
        <is>
          <t>判读规则</t>
        </is>
      </c>
    </row>
    <row r="11">
      <c r="A11" t="inlineStr">
        <is>
          <t>· 景气分 &gt; 0.5 且耗材代理分 &gt; 0：耗材需求向上，重点看产量能否持续</t>
        </is>
      </c>
    </row>
    <row r="12">
      <c r="A12" t="inlineStr">
        <is>
          <t>· 景气分 &lt; -0.5 且压机模具分 &lt; 0：扩产停滞，模具端承压更早更久</t>
        </is>
      </c>
    </row>
    <row r="13">
      <c r="A13" t="inlineStr">
        <is>
          <t>· 景气分与耗材分背离：多半是出口或结构在抵消国内产量下滑，去查明细</t>
        </is>
      </c>
    </row>
    <row r="14">
      <c r="A14" t="inlineStr">
        <is>
          <t>· 两个磨具分背离：说明「产量」与「资本开支」周期错位，属正常，要分开表述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8" customWidth="1" min="4" max="4"/>
    <col width="26" customWidth="1" min="5" max="5"/>
    <col width="34" customWidth="1" min="6" max="6"/>
    <col width="40" customWidth="1" min="7" max="7"/>
  </cols>
  <sheetData>
    <row r="1">
      <c r="A1" s="1" t="inlineStr">
        <is>
          <t>原始数据登记表（一行一个数据点，只增不改）</t>
        </is>
      </c>
    </row>
    <row r="3" ht="30" customHeight="1">
      <c r="A3" s="6" t="inlineStr">
        <is>
          <t>日期</t>
        </is>
      </c>
      <c r="B3" s="6" t="inlineStr">
        <is>
          <t>指标</t>
        </is>
      </c>
      <c r="C3" s="6" t="inlineStr">
        <is>
          <t>值</t>
        </is>
      </c>
      <c r="D3" s="6" t="inlineStr">
        <is>
          <t>单位</t>
        </is>
      </c>
      <c r="E3" s="6" t="inlineStr">
        <is>
          <t>来源</t>
        </is>
      </c>
      <c r="F3" s="6" t="inlineStr">
        <is>
          <t>链接</t>
        </is>
      </c>
      <c r="G3" s="6" t="inlineStr">
        <is>
          <t>备注</t>
        </is>
      </c>
    </row>
    <row r="4">
      <c r="A4" s="7" t="inlineStr">
        <is>
          <t>2026-09-30</t>
        </is>
      </c>
      <c r="B4" s="7" t="inlineStr">
        <is>
          <t>地产竣工面积同比</t>
        </is>
      </c>
      <c r="C4" s="8" t="n">
        <v>-12.5</v>
      </c>
      <c r="D4" s="7" t="inlineStr">
        <is>
          <t>%</t>
        </is>
      </c>
      <c r="E4" s="7" t="inlineStr">
        <is>
          <t>国家统计局</t>
        </is>
      </c>
      <c r="F4" s="7" t="inlineStr"/>
      <c r="G4" s="7" t="inlineStr">
        <is>
          <t>示例行，请替换为真实数据</t>
        </is>
      </c>
    </row>
    <row r="5">
      <c r="A5" s="9" t="inlineStr">
        <is>
          <t>2026-09-30</t>
        </is>
      </c>
      <c r="B5" s="9" t="inlineStr">
        <is>
          <t>瓷砖产量同比</t>
        </is>
      </c>
      <c r="C5" s="10" t="n">
        <v>-8</v>
      </c>
      <c r="D5" s="9" t="inlineStr">
        <is>
          <t>%</t>
        </is>
      </c>
      <c r="E5" s="9" t="inlineStr">
        <is>
          <t>示例来源</t>
        </is>
      </c>
      <c r="F5" s="9" t="inlineStr"/>
      <c r="G5" s="9" t="inlineStr">
        <is>
          <t>示例行，请替换为真实数据</t>
        </is>
      </c>
    </row>
  </sheetData>
  <autoFilter ref="A3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  <col width="8" customWidth="1" min="8" max="8"/>
    <col width="10" customWidth="1" min="9" max="9"/>
    <col width="44" customWidth="1" min="10" max="10"/>
    <col width="12" customWidth="1" min="11" max="11"/>
  </cols>
  <sheetData>
    <row r="1">
      <c r="A1" s="1" t="inlineStr">
        <is>
          <t>景气评分卡（得分列手工填 -2 ~ +2，其余自动算）</t>
        </is>
      </c>
    </row>
    <row r="2">
      <c r="A2" s="2" t="inlineStr">
        <is>
          <t>负向指标已标注方向=负，请直接填带符号的分数（例如库存天数上升 =&gt; 填 -1）。</t>
        </is>
      </c>
    </row>
    <row r="4" ht="30" customHeight="1">
      <c r="A4" s="6" t="inlineStr">
        <is>
          <t>类别</t>
        </is>
      </c>
      <c r="B4" s="6" t="inlineStr">
        <is>
          <t>指标</t>
        </is>
      </c>
      <c r="C4" s="6" t="inlineStr">
        <is>
          <t>方向</t>
        </is>
      </c>
      <c r="D4" s="6" t="inlineStr">
        <is>
          <t>权重</t>
        </is>
      </c>
      <c r="E4" s="6" t="inlineStr">
        <is>
          <t>最新值</t>
        </is>
      </c>
      <c r="F4" s="6" t="inlineStr">
        <is>
          <t>上期值</t>
        </is>
      </c>
      <c r="G4" s="6" t="inlineStr">
        <is>
          <t>同比/变化</t>
        </is>
      </c>
      <c r="H4" s="6" t="inlineStr">
        <is>
          <t>得分</t>
        </is>
      </c>
      <c r="I4" s="6" t="inlineStr">
        <is>
          <t>加权分</t>
        </is>
      </c>
      <c r="J4" s="6" t="inlineStr">
        <is>
          <t>打分依据（必填）</t>
        </is>
      </c>
      <c r="K4" s="6" t="inlineStr">
        <is>
          <t>数据日期</t>
        </is>
      </c>
    </row>
    <row r="5">
      <c r="A5" s="7" t="inlineStr">
        <is>
          <t>需求</t>
        </is>
      </c>
      <c r="B5" s="7" t="inlineStr">
        <is>
          <t>地产竣工面积同比</t>
        </is>
      </c>
      <c r="C5" s="7" t="inlineStr">
        <is>
          <t>正</t>
        </is>
      </c>
      <c r="D5" s="11" t="n">
        <v>0.15</v>
      </c>
      <c r="E5" s="7" t="n">
        <v>-25.1</v>
      </c>
      <c r="F5" s="7" t="n">
        <v>-23.7</v>
      </c>
      <c r="G5" s="12">
        <f>IFERROR((E5-F5)/ABS(F5),"")</f>
        <v/>
      </c>
      <c r="H5" s="7" t="n">
        <v>-1</v>
      </c>
      <c r="I5" s="8">
        <f>IF(H5="","",D5*H5)</f>
        <v/>
      </c>
      <c r="J5" s="7" t="inlineStr">
        <is>
          <t>变化 -1.40pp，温和恶化</t>
        </is>
      </c>
      <c r="K5" s="13" t="n">
        <v>46295</v>
      </c>
    </row>
    <row r="6">
      <c r="A6" s="7" t="inlineStr">
        <is>
          <t>需求</t>
        </is>
      </c>
      <c r="B6" s="7" t="inlineStr">
        <is>
          <t>商品房销售面积同比</t>
        </is>
      </c>
      <c r="C6" s="7" t="inlineStr">
        <is>
          <t>正</t>
        </is>
      </c>
      <c r="D6" s="11" t="n">
        <v>0.05</v>
      </c>
      <c r="E6" s="7" t="n">
        <v>-13.2</v>
      </c>
      <c r="F6" s="7" t="n">
        <v>-12.1</v>
      </c>
      <c r="G6" s="12">
        <f>IFERROR((E6-F6)/ABS(F6),"")</f>
        <v/>
      </c>
      <c r="H6" s="7" t="n">
        <v>-1</v>
      </c>
      <c r="I6" s="8">
        <f>IF(H6="","",D6*H6)</f>
        <v/>
      </c>
      <c r="J6" s="7" t="inlineStr">
        <is>
          <t>变化 -1.10pp，温和恶化</t>
        </is>
      </c>
      <c r="K6" s="13" t="n">
        <v>46295</v>
      </c>
    </row>
    <row r="7">
      <c r="A7" s="7" t="inlineStr">
        <is>
          <t>需求</t>
        </is>
      </c>
      <c r="B7" s="7" t="inlineStr">
        <is>
          <t>瓷砖产量同比</t>
        </is>
      </c>
      <c r="C7" s="7" t="inlineStr">
        <is>
          <t>正</t>
        </is>
      </c>
      <c r="D7" s="11" t="n">
        <v>0.15</v>
      </c>
      <c r="E7" s="7" t="n">
        <v>-15.07</v>
      </c>
      <c r="F7" s="7" t="n">
        <v>-12.87</v>
      </c>
      <c r="G7" s="12">
        <f>IFERROR((E7-F7)/ABS(F7),"")</f>
        <v/>
      </c>
      <c r="H7" s="7" t="n">
        <v>-2</v>
      </c>
      <c r="I7" s="8">
        <f>IF(H7="","",D7*H7)</f>
        <v/>
      </c>
      <c r="J7" s="7" t="inlineStr">
        <is>
          <t>变化 -2.20pp，显著恶化</t>
        </is>
      </c>
      <c r="K7" s="13" t="n">
        <v>46203</v>
      </c>
    </row>
    <row r="8">
      <c r="A8" s="7" t="inlineStr">
        <is>
          <t>需求</t>
        </is>
      </c>
      <c r="B8" s="7" t="inlineStr">
        <is>
          <t>瓷砖出口金额同比</t>
        </is>
      </c>
      <c r="C8" s="7" t="inlineStr">
        <is>
          <t>正</t>
        </is>
      </c>
      <c r="D8" s="11" t="n">
        <v>0.1</v>
      </c>
      <c r="E8" s="7" t="n">
        <v>-4.32</v>
      </c>
      <c r="F8" s="7" t="n"/>
      <c r="G8" s="12">
        <f>IFERROR((E8-F8)/ABS(F8),"")</f>
        <v/>
      </c>
      <c r="H8" s="7" t="n">
        <v>1</v>
      </c>
      <c r="I8" s="8">
        <f>IF(H8="","",D8*H8)</f>
        <v/>
      </c>
      <c r="J8" s="7" t="inlineStr">
        <is>
          <t>8月单月出口额同比 -4.32%，明显好于 1—8月累计的 -7.72%，降幅收窄即边际改善；因缺 7 月单月值无法算严格变化，按定性 +1 处理（人工判断 2026-10-27）</t>
        </is>
      </c>
      <c r="K8" s="13" t="n"/>
    </row>
    <row r="9">
      <c r="A9" s="7" t="inlineStr">
        <is>
          <t>供给</t>
        </is>
      </c>
      <c r="B9" s="7" t="inlineStr">
        <is>
          <t>行业开工率</t>
        </is>
      </c>
      <c r="C9" s="7" t="inlineStr">
        <is>
          <t>正</t>
        </is>
      </c>
      <c r="D9" s="11" t="n">
        <v>0.05</v>
      </c>
      <c r="E9" s="7" t="n">
        <v>2</v>
      </c>
      <c r="F9" s="7" t="n"/>
      <c r="G9" s="12">
        <f>IFERROR((E9-F9)/ABS(F9),"")</f>
        <v/>
      </c>
      <c r="H9" s="7" t="n">
        <v>-2</v>
      </c>
      <c r="I9" s="8">
        <f>IF(H9="","",D9*H9)</f>
        <v/>
      </c>
      <c r="J9" s="7" t="inlineStr">
        <is>
          <t>定性档位 2/2（历史低位）：江西高安约7成、上高宜丰8-9成，但国内其它产区普遍不足50%，行业开窑率处于历史低位（人工判断 2026-10-27）</t>
        </is>
      </c>
      <c r="K9" s="13" t="n"/>
    </row>
    <row r="10">
      <c r="A10" s="7" t="inlineStr">
        <is>
          <t>供给</t>
        </is>
      </c>
      <c r="B10" s="7" t="inlineStr">
        <is>
          <t>库存天数</t>
        </is>
      </c>
      <c r="C10" s="7" t="inlineStr">
        <is>
          <t>负</t>
        </is>
      </c>
      <c r="D10" s="11" t="n">
        <v>0.05</v>
      </c>
      <c r="E10" s="7" t="n">
        <v>136.91</v>
      </c>
      <c r="F10" s="7" t="n">
        <v>129.84</v>
      </c>
      <c r="G10" s="12">
        <f>IFERROR((E10-F10)/ABS(F10),"")</f>
        <v/>
      </c>
      <c r="H10" s="7" t="n">
        <v>-2</v>
      </c>
      <c r="I10" s="8">
        <f>IF(H10="","",D10*H10)</f>
        <v/>
      </c>
      <c r="J10" s="7" t="inlineStr">
        <is>
          <t>变化 +7.07pp，显著恶化</t>
        </is>
      </c>
      <c r="K10" s="13" t="n">
        <v>46203</v>
      </c>
    </row>
    <row r="11">
      <c r="A11" s="7" t="inlineStr">
        <is>
          <t>价格</t>
        </is>
      </c>
      <c r="B11" s="7" t="inlineStr">
        <is>
          <t>瓷砖价格指数</t>
        </is>
      </c>
      <c r="C11" s="7" t="inlineStr">
        <is>
          <t>正</t>
        </is>
      </c>
      <c r="D11" s="11" t="n">
        <v>0.1</v>
      </c>
      <c r="E11" s="7" t="n">
        <v>1</v>
      </c>
      <c r="F11" s="7" t="n"/>
      <c r="G11" s="12">
        <f>IFERROR((E11-F11)/ABS(F11),"")</f>
        <v/>
      </c>
      <c r="H11" s="7" t="n">
        <v>1</v>
      </c>
      <c r="I11" s="8">
        <f>IF(H11="","",D11*H11)</f>
        <v/>
      </c>
      <c r="J11" s="7" t="inlineStr">
        <is>
          <t>无公开价格指数，按「定性档位法」：1档（涨价函广但落地存疑）→ +1。依据：8.29-9.5 七产区集中涨价函，但属煤价成本推动且终端难落地（人工判断 2026-10-27）</t>
        </is>
      </c>
      <c r="K11" s="13" t="n"/>
    </row>
    <row r="12">
      <c r="A12" s="7" t="inlineStr">
        <is>
          <t>成本</t>
        </is>
      </c>
      <c r="B12" s="7" t="inlineStr">
        <is>
          <t>能源成本（天然气）</t>
        </is>
      </c>
      <c r="C12" s="7" t="inlineStr">
        <is>
          <t>负</t>
        </is>
      </c>
      <c r="D12" s="11" t="n">
        <v>0.05</v>
      </c>
      <c r="E12" s="7" t="n">
        <v>6749.4</v>
      </c>
      <c r="F12" s="7" t="n">
        <v>6185.9</v>
      </c>
      <c r="G12" s="12">
        <f>IFERROR((E12-F12)/ABS(F12),"")</f>
        <v/>
      </c>
      <c r="H12" s="7" t="n">
        <v>-2</v>
      </c>
      <c r="I12" s="8">
        <f>IF(H12="","",D12*H12)</f>
        <v/>
      </c>
      <c r="J12" s="7" t="inlineStr">
        <is>
          <t>变化 +563.50pp，显著恶化</t>
        </is>
      </c>
      <c r="K12" s="13" t="n">
        <v>46315</v>
      </c>
    </row>
    <row r="13">
      <c r="A13" s="7" t="inlineStr">
        <is>
          <t>盈利</t>
        </is>
      </c>
      <c r="B13" s="7" t="inlineStr">
        <is>
          <t>上市公司毛利率</t>
        </is>
      </c>
      <c r="C13" s="7" t="inlineStr">
        <is>
          <t>正</t>
        </is>
      </c>
      <c r="D13" s="11" t="n">
        <v>0.1</v>
      </c>
      <c r="E13" s="7" t="n">
        <v>26.16</v>
      </c>
      <c r="F13" s="7" t="n">
        <v>25.66</v>
      </c>
      <c r="G13" s="12">
        <f>IFERROR((E13-F13)/ABS(F13),"")</f>
        <v/>
      </c>
      <c r="H13" s="7" t="n">
        <v>1</v>
      </c>
      <c r="I13" s="8">
        <f>IF(H13="","",D13*H13)</f>
        <v/>
      </c>
      <c r="J13" s="7" t="inlineStr">
        <is>
          <t>变化 +0.50pp，温和改善</t>
        </is>
      </c>
      <c r="K13" s="13" t="n">
        <v>46203</v>
      </c>
    </row>
    <row r="14">
      <c r="A14" s="7" t="inlineStr">
        <is>
          <t>信用</t>
        </is>
      </c>
      <c r="B14" s="7" t="inlineStr">
        <is>
          <t>应收账款周转天数</t>
        </is>
      </c>
      <c r="C14" s="7" t="inlineStr">
        <is>
          <t>负</t>
        </is>
      </c>
      <c r="D14" s="11" t="n">
        <v>0.05</v>
      </c>
      <c r="E14" s="7" t="n">
        <v>58.39</v>
      </c>
      <c r="F14" s="7" t="n">
        <v>73.97</v>
      </c>
      <c r="G14" s="12">
        <f>IFERROR((E14-F14)/ABS(F14),"")</f>
        <v/>
      </c>
      <c r="H14" s="7" t="n">
        <v>1</v>
      </c>
      <c r="I14" s="8">
        <f>IF(H14="","",D14*H14)</f>
        <v/>
      </c>
      <c r="J14" s="7" t="inlineStr">
        <is>
          <t>天数 73.97→58.39 降 15.6 天，但同期营收同比 -15.1%，分母缩水效应显著，不能直接视为回款改善，由 +2 下调至 +1（人工判断 2026-10-27）</t>
        </is>
      </c>
      <c r="K14" s="13" t="n">
        <v>46203</v>
      </c>
    </row>
    <row r="15">
      <c r="A15" s="7" t="inlineStr">
        <is>
          <t>政策</t>
        </is>
      </c>
      <c r="B15" s="7" t="inlineStr">
        <is>
          <t>地产政策强度</t>
        </is>
      </c>
      <c r="C15" s="7" t="inlineStr">
        <is>
          <t>正</t>
        </is>
      </c>
      <c r="D15" s="11" t="n">
        <v>0.1</v>
      </c>
      <c r="E15" s="7" t="n">
        <v>3</v>
      </c>
      <c r="F15" s="7" t="n"/>
      <c r="G15" s="12">
        <f>IFERROR((E15-F15)/ABS(F15),"")</f>
        <v/>
      </c>
      <c r="H15" s="7" t="n">
        <v>2</v>
      </c>
      <c r="I15" s="8">
        <f>IF(H15="","",D15*H15)</f>
        <v/>
      </c>
      <c r="J15" s="7" t="inlineStr">
        <is>
          <t>水平型指标，不适用变化法。Q3 政策强度 3/3 分（8·28全国性文件+一线放松），按「3分→+2」映射（人工判断 2026-10-27）</t>
        </is>
      </c>
      <c r="K15" s="13" t="n"/>
    </row>
    <row r="16">
      <c r="A16" s="7" t="inlineStr">
        <is>
          <t>政策</t>
        </is>
      </c>
      <c r="B16" s="7" t="inlineStr">
        <is>
          <t>环保/能耗政策</t>
        </is>
      </c>
      <c r="C16" s="7" t="inlineStr">
        <is>
          <t>负</t>
        </is>
      </c>
      <c r="D16" s="11" t="n">
        <v>0.05</v>
      </c>
      <c r="E16" s="7" t="n">
        <v>1</v>
      </c>
      <c r="F16" s="7" t="n"/>
      <c r="G16" s="12">
        <f>IFERROR((E16-F16)/ABS(F16),"")</f>
        <v/>
      </c>
      <c r="H16" s="7" t="n">
        <v>-1</v>
      </c>
      <c r="I16" s="8">
        <f>IF(H16="","",D16*H16)</f>
        <v/>
      </c>
      <c r="J16" s="7" t="inlineStr">
        <is>
          <t>负向指标，定性档位 1/2：建筑卫生陶瓷纳入2026年度工业节能监察重点，多地环保管控叠加订单不足致停窑减产，但未见主产区大范围停限产（人工判断 2026-10-27）</t>
        </is>
      </c>
      <c r="K16" s="13" t="n"/>
    </row>
    <row r="17">
      <c r="B17" s="14" t="inlineStr">
        <is>
          <t>景气分（加权合计）</t>
        </is>
      </c>
      <c r="I17" s="15">
        <f>SUM(I5:I16)</f>
        <v/>
      </c>
      <c r="J17" s="2" t="inlineStr">
        <is>
          <t>← 结果在「汇总」Sheet</t>
        </is>
      </c>
    </row>
    <row r="19">
      <c r="B19" s="2" t="inlineStr">
        <is>
          <t>未填得分的指标按 0 计，会稀释景气分 —— 数据缺失时请在依据列写明「缺数据，按 0 处理」。</t>
        </is>
      </c>
    </row>
  </sheetData>
  <dataValidations count="1">
    <dataValidation sqref="H5:H16" showDropDown="0" showInputMessage="0" showErrorMessage="0" allowBlank="1" errorTitle="得分超出范围" error="只能填 -2 / -1 / 0 / 1 / 2" type="list">
      <formula1>"-2,-1,0,1,2"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  <col width="8" customWidth="1" min="4" max="4"/>
    <col width="10" customWidth="1" min="5" max="5"/>
    <col width="40" customWidth="1" min="6" max="6"/>
  </cols>
  <sheetData>
    <row r="1">
      <c r="A1" s="1" t="inlineStr">
        <is>
          <t>磨具需求代理分（两个分分开算，不要混）</t>
        </is>
      </c>
    </row>
    <row r="2">
      <c r="A2" s="2" t="inlineStr">
        <is>
          <t>得分列自动引用「评分卡」对应指标；标记「手工」的行请自己填 -2 ~ +2。</t>
        </is>
      </c>
    </row>
    <row r="4" ht="30" customHeight="1">
      <c r="A4" s="6" t="inlineStr">
        <is>
          <t>归属</t>
        </is>
      </c>
      <c r="B4" s="6" t="inlineStr">
        <is>
          <t>驱动因素</t>
        </is>
      </c>
      <c r="C4" s="6" t="inlineStr">
        <is>
          <t>映射权重</t>
        </is>
      </c>
      <c r="D4" s="6" t="inlineStr">
        <is>
          <t>得分</t>
        </is>
      </c>
      <c r="E4" s="6" t="inlineStr">
        <is>
          <t>加权分</t>
        </is>
      </c>
      <c r="F4" s="6" t="inlineStr">
        <is>
          <t>说明</t>
        </is>
      </c>
    </row>
    <row r="5">
      <c r="A5" s="7" t="inlineStr">
        <is>
          <t>磨边/抛光耗材</t>
        </is>
      </c>
      <c r="B5" s="7" t="inlineStr">
        <is>
          <t>瓷砖产量同比</t>
        </is>
      </c>
      <c r="C5" s="11" t="n">
        <v>0.4</v>
      </c>
      <c r="D5" s="7">
        <f>评分卡!H7</f>
        <v/>
      </c>
      <c r="E5" s="8">
        <f>IF(D5="","",C5*D5)</f>
        <v/>
      </c>
      <c r="F5" s="7" t="inlineStr">
        <is>
          <t>同步，权重最高</t>
        </is>
      </c>
    </row>
    <row r="6">
      <c r="A6" s="7" t="inlineStr">
        <is>
          <t>磨边/抛光耗材</t>
        </is>
      </c>
      <c r="B6" s="7" t="inlineStr">
        <is>
          <t>行业开工率</t>
        </is>
      </c>
      <c r="C6" s="11" t="n">
        <v>0.25</v>
      </c>
      <c r="D6" s="7">
        <f>评分卡!H9</f>
        <v/>
      </c>
      <c r="E6" s="8">
        <f>IF(D6="","",C6*D6)</f>
        <v/>
      </c>
      <c r="F6" s="7" t="inlineStr">
        <is>
          <t>消耗强度</t>
        </is>
      </c>
    </row>
    <row r="7">
      <c r="A7" s="7" t="inlineStr">
        <is>
          <t>磨边/抛光耗材</t>
        </is>
      </c>
      <c r="B7" s="7" t="inlineStr">
        <is>
          <t>大规格/岩板占比</t>
        </is>
      </c>
      <c r="C7" s="11" t="n">
        <v>0.2</v>
      </c>
      <c r="D7" s="7" t="n"/>
      <c r="E7" s="8">
        <f>IF(D7="","",C7*D7)</f>
        <v/>
      </c>
      <c r="F7" s="7" t="inlineStr">
        <is>
          <t>手工：结构升级打分，缺数据按 0</t>
        </is>
      </c>
    </row>
    <row r="8">
      <c r="A8" s="7" t="inlineStr">
        <is>
          <t>磨边/抛光耗材</t>
        </is>
      </c>
      <c r="B8" s="7" t="inlineStr">
        <is>
          <t>瓷砖出口金额同比</t>
        </is>
      </c>
      <c r="C8" s="11" t="n">
        <v>0.15</v>
      </c>
      <c r="D8" s="7">
        <f>评分卡!H8</f>
        <v/>
      </c>
      <c r="E8" s="8">
        <f>IF(D8="","",C8*D8)</f>
        <v/>
      </c>
      <c r="F8" s="7" t="inlineStr">
        <is>
          <t>间接</t>
        </is>
      </c>
    </row>
    <row r="9">
      <c r="A9" s="7" t="inlineStr">
        <is>
          <t>压机模具</t>
        </is>
      </c>
      <c r="B9" s="7" t="inlineStr">
        <is>
          <t>瓷砖企业资本开支</t>
        </is>
      </c>
      <c r="C9" s="11" t="n">
        <v>0.55</v>
      </c>
      <c r="D9" s="7" t="n"/>
      <c r="E9" s="8">
        <f>IF(D9="","",C9*D9)</f>
        <v/>
      </c>
      <c r="F9" s="7" t="inlineStr">
        <is>
          <t>手工：从财报/公告判断增减，缺数据按 0</t>
        </is>
      </c>
    </row>
    <row r="10">
      <c r="A10" s="7" t="inlineStr">
        <is>
          <t>压机模具</t>
        </is>
      </c>
      <c r="B10" s="7" t="inlineStr">
        <is>
          <t>新增产线 / 技改</t>
        </is>
      </c>
      <c r="C10" s="11" t="n">
        <v>0.3</v>
      </c>
      <c r="D10" s="7" t="n"/>
      <c r="E10" s="8">
        <f>IF(D10="","",C10*D10)</f>
        <v/>
      </c>
      <c r="F10" s="7" t="inlineStr">
        <is>
          <t>手工：从公告/新闻数项目</t>
        </is>
      </c>
    </row>
    <row r="11">
      <c r="A11" s="7" t="inlineStr">
        <is>
          <t>压机模具</t>
        </is>
      </c>
      <c r="B11" s="7" t="inlineStr">
        <is>
          <t>上市公司毛利率</t>
        </is>
      </c>
      <c r="C11" s="11" t="n">
        <v>0.15</v>
      </c>
      <c r="D11" s="7">
        <f>评分卡!H13</f>
        <v/>
      </c>
      <c r="E11" s="8">
        <f>IF(D11="","",C11*D11)</f>
        <v/>
      </c>
      <c r="F11" s="7" t="inlineStr">
        <is>
          <t>盈利支撑扩产意愿</t>
        </is>
      </c>
    </row>
    <row r="13">
      <c r="B13" s="14" t="inlineStr">
        <is>
          <t>磨边/抛光耗材 代理分</t>
        </is>
      </c>
      <c r="E13" s="15">
        <f>SUMIF(A5:A11,"磨边/抛光耗材",E5:E11)</f>
        <v/>
      </c>
    </row>
    <row r="14">
      <c r="B14" s="14" t="inlineStr">
        <is>
          <t>压机模具 代理分</t>
        </is>
      </c>
      <c r="E14" s="15">
        <f>SUMIF(A5:A11,"压机模具",E5:E11)</f>
        <v/>
      </c>
    </row>
  </sheetData>
  <dataValidations count="1">
    <dataValidation sqref="D5:D11" showDropDown="0" showInputMessage="0" showErrorMessage="0" allowBlank="1" type="list">
      <formula1>"-2,-1,0,1,2"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2026-10-24T05:27:33Z</dcterms:created>
  <dcterms:modified xmlns:dcterms="http://purl.org/dc/terms/" xmlns:xsi="http://www.w3.org/2001/XMLSchema-instance" xsi:type="dcterms:W3CDTF">2026-10-27T08:04:21Z</dcterms:modified>
</cp:coreProperties>
</file>